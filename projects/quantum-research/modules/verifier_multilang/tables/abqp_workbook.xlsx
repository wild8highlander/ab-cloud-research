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erdicts" sheetId="2" state="visible" r:id="rId2"/>
    <sheet xmlns:r="http://schemas.openxmlformats.org/officeDocument/2006/relationships" name="E11_zeros" sheetId="3" state="visible" r:id="rId3"/>
    <sheet xmlns:r="http://schemas.openxmlformats.org/officeDocument/2006/relationships" name="E17_zeros" sheetId="4" state="visible" r:id="rId4"/>
    <sheet xmlns:r="http://schemas.openxmlformats.org/officeDocument/2006/relationships" name="CrossLang" sheetId="5" state="visible" r:id="rId5"/>
    <sheet xmlns:r="http://schemas.openxmlformats.org/officeDocument/2006/relationships" name="Prereg" sheetId="6" state="visible" r:id="rId6"/>
    <sheet xmlns:r="http://schemas.openxmlformats.org/officeDocument/2006/relationships" name="E18_base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3B4F58"/>
      </patternFill>
    </fill>
    <fill>
      <patternFill patternType="solid">
        <fgColor rgb="00EBEDEE"/>
      </patternFill>
    </fill>
    <fill>
      <patternFill patternType="solid">
        <fgColor rgb="00D8EAD3"/>
      </patternFill>
    </fill>
  </fills>
  <borders count="2">
    <border>
      <left/>
      <right/>
      <top/>
      <bottom/>
      <diagonal/>
    </border>
    <border>
      <left style="thin">
        <color rgb="00C7D3D9"/>
      </left>
      <right style="thin">
        <color rgb="00C7D3D9"/>
      </right>
      <top style="thin">
        <color rgb="00C7D3D9"/>
      </top>
      <bottom style="thin">
        <color rgb="00C7D3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4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Примечание</t>
        </is>
      </c>
    </row>
    <row r="2">
      <c r="A2" s="2" t="inlineStr">
        <is>
          <t>ABQP Julia Research Program</t>
        </is>
      </c>
      <c r="B2" s="2" t="inlineStr">
        <is>
          <t>v0.4.0 (исполнение E01–E18; O-J1 + O-J2)</t>
        </is>
      </c>
      <c r="C2" s="2" t="inlineStr"/>
    </row>
    <row r="3">
      <c r="A3" s="3" t="inlineStr">
        <is>
          <t>Дата прогона (UTC)</t>
        </is>
      </c>
      <c r="B3" s="3" t="inlineStr">
        <is>
          <t>2026-10-11T19:38:43Z</t>
        </is>
      </c>
      <c r="C3" s="3" t="inlineStr"/>
    </row>
    <row r="4">
      <c r="A4" s="2" t="inlineStr">
        <is>
          <t>Julia</t>
        </is>
      </c>
      <c r="B4" s="2" t="inlineStr">
        <is>
          <t>1.10.9</t>
        </is>
      </c>
      <c r="C4" s="2" t="inlineStr"/>
    </row>
    <row r="5">
      <c r="A5" s="3" t="inlineStr">
        <is>
          <t>Все предрегистрированные PASS</t>
        </is>
      </c>
      <c r="B5" s="3" t="b">
        <v>1</v>
      </c>
      <c r="C5" s="3" t="inlineStr"/>
    </row>
    <row r="6">
      <c r="A6" s="2" t="inlineStr"/>
      <c r="B6" s="2" t="inlineStr"/>
      <c r="C6" s="2" t="inlineStr"/>
    </row>
    <row r="7">
      <c r="A7" s="3" t="inlineStr">
        <is>
          <t>Ключевые метрики</t>
        </is>
      </c>
      <c r="B7" s="3" t="inlineStr">
        <is>
          <t>значение</t>
        </is>
      </c>
      <c r="C7" s="3" t="inlineStr"/>
    </row>
    <row r="8">
      <c r="A8" s="2" t="inlineStr">
        <is>
          <t>E02 max(1−F) 4×4 (seed 96)</t>
        </is>
      </c>
      <c r="B8" s="2" t="inlineStr">
        <is>
          <t>4.4e−16</t>
        </is>
      </c>
      <c r="C8" s="2" t="inlineStr">
        <is>
          <t>порог 1e−12</t>
        </is>
      </c>
    </row>
    <row r="9">
      <c r="A9" s="3" t="inlineStr">
        <is>
          <t>E03 наклон масштабирования b</t>
        </is>
      </c>
      <c r="B9" s="3" t="n">
        <v>3.011</v>
      </c>
      <c r="C9" s="3" t="inlineStr">
        <is>
          <t>CI95 [2.63, 3.25] — O(d³)</t>
        </is>
      </c>
    </row>
    <row r="10">
      <c r="A10" s="2" t="inlineStr">
        <is>
          <t>E04 байт-в-байт реплей</t>
        </is>
      </c>
      <c r="B10" s="2" t="b">
        <v>1</v>
      </c>
      <c r="C10" s="2" t="inlineStr"/>
    </row>
    <row r="11">
      <c r="A11" s="3" t="inlineStr">
        <is>
          <t>E05 σ* (p95 бюджет 1e−8)</t>
        </is>
      </c>
      <c r="B11" s="3" t="inlineStr">
        <is>
          <t>1e−5 рад</t>
        </is>
      </c>
      <c r="C11" s="3" t="inlineStr"/>
    </row>
    <row r="12">
      <c r="A12" s="2" t="inlineStr">
        <is>
          <t>E09 ошибки полного перебора</t>
        </is>
      </c>
      <c r="B12" s="2" t="n">
        <v>0</v>
      </c>
      <c r="C12" s="2" t="inlineStr">
        <is>
          <t>n=2..8, 87380 входов</t>
        </is>
      </c>
    </row>
    <row r="13">
      <c r="A13" s="3" t="inlineStr">
        <is>
          <t>E11 найдено нулей</t>
        </is>
      </c>
      <c r="B13" s="3" t="n">
        <v>13</v>
      </c>
      <c r="C13" s="3" t="inlineStr">
        <is>
          <t>[0.3, 60]</t>
        </is>
      </c>
    </row>
    <row r="14">
      <c r="A14" s="2" t="inlineStr">
        <is>
          <t>E11 max |Δγ| к mpmath.zetazero</t>
        </is>
      </c>
      <c r="B14" s="2" t="inlineStr">
        <is>
          <t>1.42e−14</t>
        </is>
      </c>
      <c r="C14" s="2" t="inlineStr">
        <is>
          <t>Гаусс–Ньютон: 0</t>
        </is>
      </c>
    </row>
    <row r="15">
      <c r="A15" s="3" t="inlineStr">
        <is>
          <t>E11 N(60) Риман–Мангольдт</t>
        </is>
      </c>
      <c r="B15" s="3" t="n">
        <v>13</v>
      </c>
      <c r="C15" s="3">
        <f> 13</f>
        <v/>
      </c>
    </row>
    <row r="16">
      <c r="A16" s="2" t="inlineStr">
        <is>
          <t>E12 макс. невязка интерферометра</t>
        </is>
      </c>
      <c r="B16" s="2" t="inlineStr">
        <is>
          <t>6.7e−16</t>
        </is>
      </c>
      <c r="C16" s="2" t="inlineStr"/>
    </row>
    <row r="17">
      <c r="A17" s="3" t="inlineStr">
        <is>
          <t>E13 worst no-signaling D</t>
        </is>
      </c>
      <c r="B17" s="3" t="inlineStr">
        <is>
          <t>6.2e−16</t>
        </is>
      </c>
      <c r="C17" s="3" t="inlineStr">
        <is>
          <t>контроль CNOT ≥ 0.062</t>
        </is>
      </c>
    </row>
    <row r="18">
      <c r="A18" s="2" t="inlineStr">
        <is>
          <t>E14 S Монте-Карло (10⁶)</t>
        </is>
      </c>
      <c r="B18" s="2" t="n">
        <v>2.829112</v>
      </c>
      <c r="C18" s="2" t="inlineStr">
        <is>
          <t>0.48σ от 2√2; LHV max = 2</t>
        </is>
      </c>
    </row>
    <row r="19">
      <c r="A19" s="3" t="inlineStr">
        <is>
          <t>E15 M1 / M3 полный / M3 полу</t>
        </is>
      </c>
      <c r="B19" s="3" t="inlineStr">
        <is>
          <t>3.6e−16 / 1.1e−16 / 0.309</t>
        </is>
      </c>
      <c r="C19" s="3" t="inlineStr">
        <is>
          <t>абляция 0; линейный контроль 0.309</t>
        </is>
      </c>
    </row>
    <row r="20">
      <c r="A20" s="2" t="inlineStr">
        <is>
          <t>Кросс-язык: max |Δγ| py↔jl</t>
        </is>
      </c>
      <c r="B20" s="2" t="n">
        <v>0</v>
      </c>
      <c r="C20" s="2" t="inlineStr">
        <is>
          <t>побитовое совпадение</t>
        </is>
      </c>
    </row>
    <row r="21">
      <c r="A21" s="3" t="inlineStr">
        <is>
          <t>E16 согласие RS↔ЭМ (сетка+бенчмарк)</t>
        </is>
      </c>
      <c r="B21" s="3" t="inlineStr">
        <is>
          <t>3.8e−15 / 3.1e−17</t>
        </is>
      </c>
      <c r="C21" s="3" t="inlineStr">
        <is>
          <t>порог 1e−9</t>
        </is>
      </c>
    </row>
    <row r="22">
      <c r="A22" s="2" t="inlineStr">
        <is>
          <t>E16 RS быстрее ЭМ при t=10000</t>
        </is>
      </c>
      <c r="B22" s="2" t="inlineStr">
        <is>
          <t>25.2 мс против 1.0 мс</t>
        </is>
      </c>
      <c r="C22" s="2" t="inlineStr">
        <is>
          <t>кроссовер ≈ t≈500</t>
        </is>
      </c>
    </row>
    <row r="23">
      <c r="A23" s="3" t="inlineStr">
        <is>
          <t>E17 найдено нулей (ЭМ / РС)</t>
        </is>
      </c>
      <c r="B23" s="3" t="inlineStr">
        <is>
          <t>649 / 639</t>
        </is>
      </c>
      <c r="C23" s="3" t="inlineStr">
        <is>
          <t>[0.3,1000] / [50,1000]</t>
        </is>
      </c>
    </row>
    <row r="24">
      <c r="A24" s="2" t="inlineStr">
        <is>
          <t>E17 max |Δγ| к mpmath.zetazero</t>
        </is>
      </c>
      <c r="B24" s="2" t="inlineStr">
        <is>
          <t>3.0e−10 (Гаусс–Ньютон)</t>
        </is>
      </c>
      <c r="C24" s="2" t="inlineStr">
        <is>
          <t>порог 1e−9; детектор 2.3e−13</t>
        </is>
      </c>
    </row>
    <row r="25">
      <c r="A25" s="3" t="inlineStr">
        <is>
          <t>E17 кросс-движок (ЭМ ↔ РС)</t>
        </is>
      </c>
      <c r="B25" s="3" t="inlineStr">
        <is>
          <t>0.0</t>
        </is>
      </c>
      <c r="C25" s="3" t="inlineStr">
        <is>
          <t>побитово</t>
        </is>
      </c>
    </row>
    <row r="26">
      <c r="A26" s="2" t="inlineStr">
        <is>
          <t>E17 N(1000) принцип аргумента</t>
        </is>
      </c>
      <c r="B26" s="2" t="n">
        <v>649</v>
      </c>
      <c r="C26" s="2">
        <f> числу найденных</f>
        <v/>
      </c>
    </row>
    <row r="27">
      <c r="A27" s="3" t="inlineStr">
        <is>
          <t>E17 слепая репликация Python [900,960]</t>
        </is>
      </c>
      <c r="B27" s="3" t="inlineStr">
        <is>
          <t>48/48 нулей</t>
        </is>
      </c>
      <c r="C27" s="3" t="inlineStr">
        <is>
          <t>max |Δ| = 2.3e−13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60" customWidth="1" min="3" max="3"/>
    <col width="52" customWidth="1" min="4" max="4"/>
  </cols>
  <sheetData>
    <row r="1">
      <c r="A1" s="1" t="inlineStr">
        <is>
          <t>Эксперимент</t>
        </is>
      </c>
      <c r="B1" s="1" t="inlineStr">
        <is>
          <t>PASS</t>
        </is>
      </c>
      <c r="C1" s="1" t="inlineStr">
        <is>
          <t>Предрегистрированный критерий</t>
        </is>
      </c>
      <c r="D1" s="1" t="inlineStr">
        <is>
          <t>Не доказывает</t>
        </is>
      </c>
    </row>
    <row r="2">
      <c r="A2" s="2" t="inlineStr">
        <is>
          <t>E01</t>
        </is>
      </c>
      <c r="B2" s="4" t="b">
        <v>1</v>
      </c>
      <c r="C2" s="2" t="inlineStr">
        <is>
          <t>невязка ≤ 1e−12; контроль фазы F ≥ 1−1e−12; испорченный контроль 1−F ≥ 1e−4</t>
        </is>
      </c>
      <c r="D2" s="2" t="inlineStr">
        <is>
          <t>корректность физической реализации ворот</t>
        </is>
      </c>
    </row>
    <row r="3">
      <c r="A3" s="3" t="inlineStr">
        <is>
          <t>E02</t>
        </is>
      </c>
      <c r="B3" s="4" t="b">
        <v>1</v>
      </c>
      <c r="C3" s="3" t="inlineStr">
        <is>
          <t>макс. (1−F) ≤ 1e−12 (4×4) и ≤ 1e−10 (8×8), на репликации и новых seeds</t>
        </is>
      </c>
      <c r="D3" s="3" t="inlineStr">
        <is>
          <t>масштабируемость на десятки кубитов; точность Float64 ≠ физическая fidelity</t>
        </is>
      </c>
    </row>
    <row r="4">
      <c r="A4" s="2" t="inlineStr">
        <is>
          <t>E03</t>
        </is>
      </c>
      <c r="B4" s="4" t="b">
        <v>1</v>
      </c>
      <c r="C4" s="2" t="inlineStr">
        <is>
          <t>все размеры завершены; наклон компиляции b ∈ [2.6, 3.4] (O(d^3))</t>
        </is>
      </c>
      <c r="D4" s="2" t="inlineStr">
        <is>
          <t>преимущество над лучшими компиляторами</t>
        </is>
      </c>
    </row>
    <row r="5">
      <c r="A5" s="3" t="inlineStr">
        <is>
          <t>E04</t>
        </is>
      </c>
      <c r="B5" s="4" t="b">
        <v>1</v>
      </c>
      <c r="C5" s="3" t="inlineStr">
        <is>
          <t>байт-в-байт реплей; серия 20 seeds: max ≤ 1e−12; независимость порядка</t>
        </is>
      </c>
      <c r="D5" s="3" t="inlineStr">
        <is>
          <t>универсальную воспроизводимость на всех BLAS/CPU</t>
        </is>
      </c>
    </row>
    <row r="6">
      <c r="A6" s="2" t="inlineStr">
        <is>
          <t>E05</t>
        </is>
      </c>
      <c r="B6" s="4" t="b">
        <v>1</v>
      </c>
      <c r="C6" s="2" t="inlineStr">
        <is>
          <t>определить σ* для бюджета p95(1−F) ≤ 1e−8; глобальная фаза не влияет</t>
        </is>
      </c>
      <c r="D6" s="2" t="inlineStr">
        <is>
          <t>характеристики реального носителя без модели шума</t>
        </is>
      </c>
    </row>
    <row r="7">
      <c r="A7" s="3" t="inlineStr">
        <is>
          <t>E06</t>
        </is>
      </c>
      <c r="B7" s="4" t="b">
        <v>1</v>
      </c>
      <c r="C7" s="3" t="inlineStr">
        <is>
          <t>p=q=0 → чтение 1.0; |сим − аналитика| ≤ 4σ_бином</t>
        </is>
      </c>
      <c r="D7" s="3" t="inlineStr">
        <is>
          <t>измеренную когерентность физической памяти</t>
        </is>
      </c>
    </row>
    <row r="8">
      <c r="A8" s="2" t="inlineStr">
        <is>
          <t>E07</t>
        </is>
      </c>
      <c r="B8" s="4" t="b">
        <v>1</v>
      </c>
      <c r="C8" s="2" t="inlineStr">
        <is>
          <t>независимый: логическая &lt; некодированной (p ≤ 0.05, CI95); коррелированный контроль: выигрыш исчезает</t>
        </is>
      </c>
      <c r="D8" s="2" t="inlineStr">
        <is>
          <t>топологическую защиту</t>
        </is>
      </c>
    </row>
    <row r="9">
      <c r="A9" s="3" t="inlineStr">
        <is>
          <t>E08</t>
        </is>
      </c>
      <c r="B9" s="4" t="b">
        <v>1</v>
      </c>
      <c r="C9" s="3" t="inlineStr">
        <is>
          <t>сумматор биективен (256/256); mulmod16: нечётные — биекция, чётные — нет</t>
        </is>
      </c>
      <c r="D9" s="3" t="inlineStr">
        <is>
          <t>ускорение арифметики относительно CPU</t>
        </is>
      </c>
    </row>
    <row r="10">
      <c r="A10" s="2" t="inlineStr">
        <is>
          <t>E09</t>
        </is>
      </c>
      <c r="B10" s="4" t="b">
        <v>1</v>
      </c>
      <c r="C10" s="2" t="inlineStr">
        <is>
          <t>полный перебор n=2..8 без ошибок; Toffoli = 4n−2, CNOT = 10n−3 (исправленная in-place схема v0.2.0); мусор ≡ 0</t>
        </is>
      </c>
      <c r="D10" s="2" t="inlineStr">
        <is>
          <t>превосходство над классическим умножением</t>
        </is>
      </c>
    </row>
    <row r="11">
      <c r="A11" s="3" t="inlineStr">
        <is>
          <t>E10</t>
        </is>
      </c>
      <c r="B11" s="4" t="b">
        <v>1</v>
      </c>
      <c r="C11" s="3" t="inlineStr">
        <is>
          <t>макс. круговая ошибка ≤ 1e−12; отрицательный контроль ≥ 5e−3 (вносимый сдвиг 0.01)</t>
        </is>
      </c>
      <c r="D11" s="3" t="inlineStr">
        <is>
          <t>что загрузка фазы реализована примитивами ISA (отдельное обязательство)</t>
        </is>
      </c>
    </row>
    <row r="12">
      <c r="A12" s="2" t="inlineStr">
        <is>
          <t>E11</t>
        </is>
      </c>
      <c r="B12" s="4" t="b">
        <v>1</v>
      </c>
      <c r="C12" s="2" t="inlineStr">
        <is>
          <t>precision = recall = 1 на [0.3, 60]; макс. ошибка позиции ≤ 1e−9 против mpmath.zetazero-эталона; устойчивость к сетке h∈{0.02,0.005}; Гаусс–Ньютон ≤ 1e−9; контроль полноты: N(60) по Риману–фон Мангольдту = 13</t>
        </is>
      </c>
      <c r="D12" s="2" t="inlineStr">
        <is>
          <t>гипотезу Римана; конечное число нулей не доказывает RH и не экстраполируется на большие высоты</t>
        </is>
      </c>
    </row>
    <row r="13">
      <c r="A13" s="3" t="inlineStr">
        <is>
          <t>E12</t>
        </is>
      </c>
      <c r="B13" s="4" t="b">
        <v>1</v>
      </c>
      <c r="C13" s="3" t="inlineStr">
        <is>
          <t>макс. невязка ≤ 1e−15; конечные точки P=0; глобальная фаза не влияет</t>
        </is>
      </c>
      <c r="D13" s="3" t="inlineStr">
        <is>
          <t>что физический AB-эксперимент имеет эту ошибку/защиту</t>
        </is>
      </c>
    </row>
    <row r="14">
      <c r="A14" s="2" t="inlineStr">
        <is>
          <t>E13</t>
        </is>
      </c>
      <c r="B14" s="4" t="b">
        <v>1</v>
      </c>
      <c r="C14" s="2" t="inlineStr">
        <is>
          <t>D ≤ 1e−12 (унитарные и CPTP, чистые и смешанные); контроль CNOT: min D ≥ 0.01 и разделение ≥ 1e10</t>
        </is>
      </c>
      <c r="D14" s="2" t="inlineStr">
        <is>
          <t>мгновенное физическое влияние (no-signaling — следствие структуры теории)</t>
        </is>
      </c>
    </row>
    <row r="15">
      <c r="A15" s="3" t="inlineStr">
        <is>
          <t>E14</t>
        </is>
      </c>
      <c r="B15" s="4" t="b">
        <v>1</v>
      </c>
      <c r="C15" s="3" t="inlineStr">
        <is>
          <t>|S_сэмпл − 2√2| ≤ 3σ; LHV max S = 2 &lt; 2√2</t>
        </is>
      </c>
      <c r="D15" s="3" t="inlineStr">
        <is>
          <t>сверхсветовую передачу сигнала; это симуляция, не физический Bell-тест</t>
        </is>
      </c>
    </row>
    <row r="16">
      <c r="A16" s="2" t="inlineStr">
        <is>
          <t>E15</t>
        </is>
      </c>
      <c r="B16" s="4" t="b">
        <v>1</v>
      </c>
      <c r="C16" s="2" t="inlineStr">
        <is>
          <t>M1 ≤ 1e−12; M3 полный квант ≤ 1e−12; M3 полуквант ≥ 0.2; абляция φ0 ≈ 0; линейная модель ≥ 0.1</t>
        </is>
      </c>
      <c r="D16" s="2" t="inlineStr">
        <is>
          <t>физическую топологическую защиту без реалистичного шума и равных ресурсов</t>
        </is>
      </c>
    </row>
    <row r="17">
      <c r="A17" s="3" t="inlineStr">
        <is>
          <t>E16</t>
        </is>
      </c>
      <c r="B17" s="4" t="b">
        <v>1</v>
      </c>
      <c r="C17" s="3" t="inlineStr">
        <is>
          <t>F-ряд ≤ 1e−30; вещественность Z(t) ≤ 1e−12; согласие RS↔ЭМ при равной точности ≤ 1e−9 на сетке [250,1000] (порог O-J1)</t>
        </is>
      </c>
      <c r="D17" s="3" t="inlineStr">
        <is>
          <t>превосходство RS на всех высотах; применимость RS при t &lt; 50; RH</t>
        </is>
      </c>
    </row>
    <row r="18">
      <c r="A18" s="2" t="inlineStr">
        <is>
          <t>E17</t>
        </is>
      </c>
      <c r="B18" s="4" t="b">
        <v>1</v>
      </c>
      <c r="C18" s="2" t="inlineStr">
        <is>
          <t>precision = recall = 1 для ОБОИХ движков; max|Δγ| ≤ 1e−9 к mpmath.zetazero; кросс-движок ≤ 1e−9; N(1000) по стандартному пути = числу найденных; устойчивость к сетке [900,1000] ≤ 1e−9</t>
        </is>
      </c>
      <c r="D18" s="2" t="inlineStr">
        <is>
          <t>RH выше T=1000; простоту всех нулей; отсутствие нулей вне прямой при γ &gt; 1000</t>
        </is>
      </c>
    </row>
    <row r="19">
      <c r="A19" s="3" t="inlineStr">
        <is>
          <t>E18</t>
        </is>
      </c>
      <c r="B19" s="4" t="b">
        <v>1</v>
      </c>
      <c r="C19" s="3" t="inlineStr">
        <is>
          <t>ABQP: 1−F ≤ 1e−12 на 100% независимого набора (структурированные + Haar 4×4/8×8); примитивов у ABQP ≤ каждой точной ISA-baseline (BL1/BL2/BL4) на каждой цели; медиана времени компиляции ABQP × 50 ≤ медианы BL3 (Haar 4×4); identity — 0 блоков AB2; испорченная цель компилируется (1−F ≤ 0.01)</t>
        </is>
      </c>
      <c r="D19" s="3" t="inlineStr">
        <is>
          <t>превосходство по 2q-эквиваленту над KAK-оптимумом; масштабирование численных baseline на d&gt;8; физическую реализацию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14" customWidth="1" min="4" max="4"/>
  </cols>
  <sheetData>
    <row r="1">
      <c r="A1" s="1" t="inlineStr">
        <is>
          <t>№</t>
        </is>
      </c>
      <c r="B1" s="1" t="inlineStr">
        <is>
          <t>γ (mpmath.zetazero)</t>
        </is>
      </c>
      <c r="C1" s="1" t="inlineStr">
        <is>
          <t>γ (детектор, слепо)</t>
        </is>
      </c>
      <c r="D1" s="1" t="inlineStr">
        <is>
          <t>Δ</t>
        </is>
      </c>
    </row>
    <row r="2">
      <c r="A2" s="2" t="n">
        <v>1</v>
      </c>
      <c r="B2" s="2" t="n">
        <v>14.13472514173469</v>
      </c>
      <c r="C2" s="2" t="n">
        <v>14.13472514173469</v>
      </c>
      <c r="D2" s="2" t="n">
        <v>-1.77635683940025e-15</v>
      </c>
    </row>
    <row r="3">
      <c r="A3" s="3" t="n">
        <v>2</v>
      </c>
      <c r="B3" s="3" t="n">
        <v>21.02203963877156</v>
      </c>
      <c r="C3" s="3" t="n">
        <v>21.02203963877156</v>
      </c>
      <c r="D3" s="3" t="n">
        <v>0</v>
      </c>
    </row>
    <row r="4">
      <c r="A4" s="2" t="n">
        <v>3</v>
      </c>
      <c r="B4" s="2" t="n">
        <v>25.01085758014569</v>
      </c>
      <c r="C4" s="2" t="n">
        <v>25.0108575801457</v>
      </c>
      <c r="D4" s="2" t="n">
        <v>7.105427357601002e-15</v>
      </c>
    </row>
    <row r="5">
      <c r="A5" s="3" t="n">
        <v>4</v>
      </c>
      <c r="B5" s="3" t="n">
        <v>30.42487612585951</v>
      </c>
      <c r="C5" s="3" t="n">
        <v>30.42487612585952</v>
      </c>
      <c r="D5" s="3" t="n">
        <v>3.552713678800501e-15</v>
      </c>
    </row>
    <row r="6">
      <c r="A6" s="2" t="n">
        <v>5</v>
      </c>
      <c r="B6" s="2" t="n">
        <v>32.93506158773919</v>
      </c>
      <c r="C6" s="2" t="n">
        <v>32.9350615877392</v>
      </c>
      <c r="D6" s="2" t="n">
        <v>7.105427357601002e-15</v>
      </c>
    </row>
    <row r="7">
      <c r="A7" s="3" t="n">
        <v>6</v>
      </c>
      <c r="B7" s="3" t="n">
        <v>37.58617815882567</v>
      </c>
      <c r="C7" s="3" t="n">
        <v>37.58617815882569</v>
      </c>
      <c r="D7" s="3" t="n">
        <v>1.4210854715202e-14</v>
      </c>
    </row>
    <row r="8">
      <c r="A8" s="2" t="n">
        <v>7</v>
      </c>
      <c r="B8" s="2" t="n">
        <v>40.9187190121475</v>
      </c>
      <c r="C8" s="2" t="n">
        <v>40.91871901214751</v>
      </c>
      <c r="D8" s="2" t="n">
        <v>7.105427357601002e-15</v>
      </c>
    </row>
    <row r="9">
      <c r="A9" s="3" t="n">
        <v>8</v>
      </c>
      <c r="B9" s="3" t="n">
        <v>43.327073280915</v>
      </c>
      <c r="C9" s="3" t="n">
        <v>43.32707328091502</v>
      </c>
      <c r="D9" s="3" t="n">
        <v>1.4210854715202e-14</v>
      </c>
    </row>
    <row r="10">
      <c r="A10" s="2" t="n">
        <v>9</v>
      </c>
      <c r="B10" s="2" t="n">
        <v>48.00515088116716</v>
      </c>
      <c r="C10" s="2" t="n">
        <v>48.00515088116717</v>
      </c>
      <c r="D10" s="2" t="n">
        <v>7.105427357601002e-15</v>
      </c>
    </row>
    <row r="11">
      <c r="A11" s="3" t="n">
        <v>10</v>
      </c>
      <c r="B11" s="3" t="n">
        <v>49.7738324776723</v>
      </c>
      <c r="C11" s="3" t="n">
        <v>49.77383247767231</v>
      </c>
      <c r="D11" s="3" t="n">
        <v>1.4210854715202e-14</v>
      </c>
    </row>
    <row r="12">
      <c r="A12" s="2" t="n">
        <v>11</v>
      </c>
      <c r="B12" s="2" t="n">
        <v>52.97032147771446</v>
      </c>
      <c r="C12" s="2" t="n">
        <v>52.97032147771448</v>
      </c>
      <c r="D12" s="2" t="n">
        <v>1.4210854715202e-14</v>
      </c>
    </row>
    <row r="13">
      <c r="A13" s="3" t="n">
        <v>12</v>
      </c>
      <c r="B13" s="3" t="n">
        <v>56.44624769706339</v>
      </c>
      <c r="C13" s="3" t="n">
        <v>56.4462476970634</v>
      </c>
      <c r="D13" s="3" t="n">
        <v>7.105427357601002e-15</v>
      </c>
    </row>
    <row r="14">
      <c r="A14" s="2" t="n">
        <v>13</v>
      </c>
      <c r="B14" s="2" t="n">
        <v>59.34704400260235</v>
      </c>
      <c r="C14" s="2" t="n">
        <v>59.34704400260236</v>
      </c>
      <c r="D14" s="2" t="n">
        <v>7.105427357601002e-15</v>
      </c>
    </row>
    <row r="16">
      <c r="A16" s="5" t="inlineStr">
        <is>
          <t>Валидация</t>
        </is>
      </c>
    </row>
    <row r="17">
      <c r="A17" t="inlineStr">
        <is>
          <t>precision</t>
        </is>
      </c>
      <c r="B17" t="inlineStr">
        <is>
          <t>1.0</t>
        </is>
      </c>
    </row>
    <row r="18">
      <c r="A18" t="inlineStr">
        <is>
          <t>recall</t>
        </is>
      </c>
      <c r="B18" t="inlineStr">
        <is>
          <t>1.0</t>
        </is>
      </c>
    </row>
    <row r="19">
      <c r="A19" t="inlineStr">
        <is>
          <t>max_position_error</t>
        </is>
      </c>
      <c r="B19" t="inlineStr">
        <is>
          <t>1.4210854715202004e-14</t>
        </is>
      </c>
    </row>
    <row r="20">
      <c r="A20" t="inlineStr">
        <is>
          <t>gauss_newton_max_error</t>
        </is>
      </c>
      <c r="B20" t="inlineStr">
        <is>
          <t>0.0</t>
        </is>
      </c>
    </row>
    <row r="21">
      <c r="A21" t="inlineStr">
        <is>
          <t>N(60) Риман–Мангольдт</t>
        </is>
      </c>
      <c r="B21" t="inlineStr">
        <is>
          <t>13.000000000000002</t>
        </is>
      </c>
    </row>
    <row r="22">
      <c r="A22" t="inlineStr">
        <is>
          <t>SHA256 выхода детектора</t>
        </is>
      </c>
      <c r="B22" t="inlineStr">
        <is>
          <t>7cdfd6d619dbaf62b027a6e40679180109529c753a50bb115bc356f5be90aed5  e11_detector_output.csv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4" customWidth="1" min="4" max="4"/>
  </cols>
  <sheetData>
    <row r="1">
      <c r="A1" s="1" t="inlineStr">
        <is>
          <t>№</t>
        </is>
      </c>
      <c r="B1" s="1" t="inlineStr">
        <is>
          <t>γ (mpmath.zetazero)</t>
        </is>
      </c>
      <c r="C1" s="1" t="inlineStr">
        <is>
          <t>γ (детектор ЭМ, слепо)</t>
        </is>
      </c>
      <c r="D1" s="1" t="inlineStr">
        <is>
          <t>Δ</t>
        </is>
      </c>
    </row>
    <row r="2">
      <c r="A2" s="2" t="n">
        <v>1</v>
      </c>
      <c r="B2" s="2" t="n">
        <v>14.13472514173469</v>
      </c>
      <c r="C2" s="2" t="n">
        <v>14.13472514173469</v>
      </c>
      <c r="D2" s="2" t="n">
        <v>0</v>
      </c>
    </row>
    <row r="3">
      <c r="A3" s="3" t="n">
        <v>2</v>
      </c>
      <c r="B3" s="3" t="n">
        <v>21.02203963877156</v>
      </c>
      <c r="C3" s="3" t="n">
        <v>21.02203963877156</v>
      </c>
      <c r="D3" s="3" t="n">
        <v>0</v>
      </c>
    </row>
    <row r="4">
      <c r="A4" s="2" t="n">
        <v>3</v>
      </c>
      <c r="B4" s="2" t="n">
        <v>25.01085758014569</v>
      </c>
      <c r="C4" s="2" t="n">
        <v>25.01085758014569</v>
      </c>
      <c r="D4" s="2" t="n">
        <v>0</v>
      </c>
    </row>
    <row r="5">
      <c r="A5" s="3" t="n">
        <v>4</v>
      </c>
      <c r="B5" s="3" t="n">
        <v>30.42487612585951</v>
      </c>
      <c r="C5" s="3" t="n">
        <v>30.42487612585951</v>
      </c>
      <c r="D5" s="3" t="n">
        <v>0</v>
      </c>
    </row>
    <row r="6">
      <c r="A6" s="2" t="n">
        <v>5</v>
      </c>
      <c r="B6" s="2" t="n">
        <v>32.93506158773919</v>
      </c>
      <c r="C6" s="2" t="n">
        <v>32.93506158773919</v>
      </c>
      <c r="D6" s="2" t="n">
        <v>0</v>
      </c>
    </row>
    <row r="7">
      <c r="A7" s="3" t="n">
        <v>6</v>
      </c>
      <c r="B7" s="3" t="n">
        <v>37.58617815882567</v>
      </c>
      <c r="C7" s="3" t="n">
        <v>37.58617815882567</v>
      </c>
      <c r="D7" s="3" t="n">
        <v>0</v>
      </c>
    </row>
    <row r="8">
      <c r="A8" s="2" t="n">
        <v>7</v>
      </c>
      <c r="B8" s="2" t="n">
        <v>40.9187190121475</v>
      </c>
      <c r="C8" s="2" t="n">
        <v>40.9187190121475</v>
      </c>
      <c r="D8" s="2" t="n">
        <v>0</v>
      </c>
    </row>
    <row r="9">
      <c r="A9" s="3" t="n">
        <v>8</v>
      </c>
      <c r="B9" s="3" t="n">
        <v>43.327073280915</v>
      </c>
      <c r="C9" s="3" t="n">
        <v>43.327073280915</v>
      </c>
      <c r="D9" s="3" t="n">
        <v>0</v>
      </c>
    </row>
    <row r="10">
      <c r="A10" s="2" t="n">
        <v>9</v>
      </c>
      <c r="B10" s="2" t="n">
        <v>48.00515088116716</v>
      </c>
      <c r="C10" s="2" t="n">
        <v>48.00515088116716</v>
      </c>
      <c r="D10" s="2" t="n">
        <v>0</v>
      </c>
    </row>
    <row r="11">
      <c r="A11" s="3" t="n">
        <v>10</v>
      </c>
      <c r="B11" s="3" t="n">
        <v>49.7738324776723</v>
      </c>
      <c r="C11" s="3" t="n">
        <v>49.7738324776723</v>
      </c>
      <c r="D11" s="3" t="n">
        <v>0</v>
      </c>
    </row>
    <row r="12">
      <c r="A12" s="2" t="n">
        <v>11</v>
      </c>
      <c r="B12" s="2" t="n">
        <v>52.97032147771446</v>
      </c>
      <c r="C12" s="2" t="n">
        <v>52.97032147771446</v>
      </c>
      <c r="D12" s="2" t="n">
        <v>0</v>
      </c>
    </row>
    <row r="13">
      <c r="A13" s="3" t="n">
        <v>12</v>
      </c>
      <c r="B13" s="3" t="n">
        <v>56.44624769706339</v>
      </c>
      <c r="C13" s="3" t="n">
        <v>56.44624769706339</v>
      </c>
      <c r="D13" s="3" t="n">
        <v>0</v>
      </c>
    </row>
    <row r="14">
      <c r="A14" s="2" t="n">
        <v>13</v>
      </c>
      <c r="B14" s="2" t="n">
        <v>59.34704400260235</v>
      </c>
      <c r="C14" s="2" t="n">
        <v>59.34704400260235</v>
      </c>
      <c r="D14" s="2" t="n">
        <v>0</v>
      </c>
    </row>
    <row r="15">
      <c r="A15" s="3" t="n">
        <v>14</v>
      </c>
      <c r="B15" s="3" t="n">
        <v>60.83177852460981</v>
      </c>
      <c r="C15" s="3" t="n">
        <v>60.83177852460981</v>
      </c>
      <c r="D15" s="3" t="n">
        <v>0</v>
      </c>
    </row>
    <row r="16">
      <c r="A16" s="2" t="n">
        <v>39</v>
      </c>
      <c r="B16" s="2" t="n">
        <v>121.3701250024207</v>
      </c>
      <c r="C16" s="2" t="n">
        <v>121.3701250024207</v>
      </c>
      <c r="D16" s="2" t="n">
        <v>0</v>
      </c>
    </row>
    <row r="17">
      <c r="A17" s="3" t="n">
        <v>64</v>
      </c>
      <c r="B17" s="3" t="n">
        <v>169.9119764794117</v>
      </c>
      <c r="C17" s="3" t="n">
        <v>169.9119764794117</v>
      </c>
      <c r="D17" s="3" t="n">
        <v>0</v>
      </c>
    </row>
    <row r="18">
      <c r="A18" s="2" t="n">
        <v>89</v>
      </c>
      <c r="B18" s="2" t="n">
        <v>216.1695385082637</v>
      </c>
      <c r="C18" s="2" t="n">
        <v>216.1695385082637</v>
      </c>
      <c r="D18" s="2" t="n">
        <v>0</v>
      </c>
    </row>
    <row r="19">
      <c r="A19" s="3" t="n">
        <v>114</v>
      </c>
      <c r="B19" s="3" t="n">
        <v>259.874406989678</v>
      </c>
      <c r="C19" s="3" t="n">
        <v>259.874406989678</v>
      </c>
      <c r="D19" s="3" t="n">
        <v>0</v>
      </c>
    </row>
    <row r="20">
      <c r="A20" s="2" t="n">
        <v>139</v>
      </c>
      <c r="B20" s="2" t="n">
        <v>301.6493254621942</v>
      </c>
      <c r="C20" s="2" t="n">
        <v>301.6493254621942</v>
      </c>
      <c r="D20" s="2" t="n">
        <v>0</v>
      </c>
    </row>
    <row r="21">
      <c r="A21" s="3" t="n">
        <v>164</v>
      </c>
      <c r="B21" s="3" t="n">
        <v>341.0422611110466</v>
      </c>
      <c r="C21" s="3" t="n">
        <v>341.0422611110466</v>
      </c>
      <c r="D21" s="3" t="n">
        <v>0</v>
      </c>
    </row>
    <row r="22">
      <c r="A22" s="2" t="n">
        <v>189</v>
      </c>
      <c r="B22" s="2" t="n">
        <v>379.8729753465324</v>
      </c>
      <c r="C22" s="2" t="n">
        <v>379.8729753465324</v>
      </c>
      <c r="D22" s="2" t="n">
        <v>0</v>
      </c>
    </row>
    <row r="23">
      <c r="A23" s="3" t="n">
        <v>214</v>
      </c>
      <c r="B23" s="3" t="n">
        <v>418.3877057895348</v>
      </c>
      <c r="C23" s="3" t="n">
        <v>418.3877057895348</v>
      </c>
      <c r="D23" s="3" t="n">
        <v>0</v>
      </c>
    </row>
    <row r="24">
      <c r="A24" s="2" t="n">
        <v>239</v>
      </c>
      <c r="B24" s="2" t="n">
        <v>454.9746837686168</v>
      </c>
      <c r="C24" s="2" t="n">
        <v>454.9746837686168</v>
      </c>
      <c r="D24" s="2" t="n">
        <v>0</v>
      </c>
    </row>
    <row r="25">
      <c r="A25" s="3" t="n">
        <v>264</v>
      </c>
      <c r="B25" s="3" t="n">
        <v>491.398821593663</v>
      </c>
      <c r="C25" s="3" t="n">
        <v>491.398821593663</v>
      </c>
      <c r="D25" s="3" t="n">
        <v>0</v>
      </c>
    </row>
    <row r="26">
      <c r="A26" s="2" t="n">
        <v>289</v>
      </c>
      <c r="B26" s="2" t="n">
        <v>527.9036416012724</v>
      </c>
      <c r="C26" s="2" t="n">
        <v>527.9036416012724</v>
      </c>
      <c r="D26" s="2" t="n">
        <v>0</v>
      </c>
    </row>
    <row r="27">
      <c r="A27" s="3" t="n">
        <v>314</v>
      </c>
      <c r="B27" s="3" t="n">
        <v>562.5592076160458</v>
      </c>
      <c r="C27" s="3" t="n">
        <v>562.5592076160458</v>
      </c>
      <c r="D27" s="3" t="n">
        <v>0</v>
      </c>
    </row>
    <row r="28">
      <c r="A28" s="2" t="n">
        <v>339</v>
      </c>
      <c r="B28" s="2" t="n">
        <v>596.3627683283937</v>
      </c>
      <c r="C28" s="2" t="n">
        <v>596.3627683283937</v>
      </c>
      <c r="D28" s="2" t="n">
        <v>0</v>
      </c>
    </row>
    <row r="29">
      <c r="A29" s="3" t="n">
        <v>364</v>
      </c>
      <c r="B29" s="3" t="n">
        <v>630.8057809271976</v>
      </c>
      <c r="C29" s="3" t="n">
        <v>630.8057809271975</v>
      </c>
      <c r="D29" s="3" t="n">
        <v>1.137e-13</v>
      </c>
    </row>
    <row r="30">
      <c r="A30" s="2" t="n">
        <v>389</v>
      </c>
      <c r="B30" s="2" t="n">
        <v>665.342763095599</v>
      </c>
      <c r="C30" s="2" t="n">
        <v>665.342763095599</v>
      </c>
      <c r="D30" s="2" t="n">
        <v>0</v>
      </c>
    </row>
    <row r="31">
      <c r="A31" s="3" t="n">
        <v>414</v>
      </c>
      <c r="B31" s="3" t="n">
        <v>699.1320954760135</v>
      </c>
      <c r="C31" s="3" t="n">
        <v>699.1320954760135</v>
      </c>
      <c r="D31" s="3" t="n">
        <v>0</v>
      </c>
    </row>
    <row r="32">
      <c r="A32" s="2" t="n">
        <v>439</v>
      </c>
      <c r="B32" s="2" t="n">
        <v>731.4173549185986</v>
      </c>
      <c r="C32" s="2" t="n">
        <v>731.4173549185984</v>
      </c>
      <c r="D32" s="2" t="n">
        <v>1.137e-13</v>
      </c>
    </row>
    <row r="33">
      <c r="A33" s="3" t="n">
        <v>464</v>
      </c>
      <c r="B33" s="3" t="n">
        <v>764.3075227241802</v>
      </c>
      <c r="C33" s="3" t="n">
        <v>764.3075227241804</v>
      </c>
      <c r="D33" s="3" t="n">
        <v>2.274e-13</v>
      </c>
    </row>
    <row r="34">
      <c r="A34" s="2" t="n">
        <v>489</v>
      </c>
      <c r="B34" s="2" t="n">
        <v>797.2634700380356</v>
      </c>
      <c r="C34" s="2" t="n">
        <v>797.2634700380358</v>
      </c>
      <c r="D34" s="2" t="n">
        <v>2.274e-13</v>
      </c>
    </row>
    <row r="35">
      <c r="A35" s="3" t="n">
        <v>514</v>
      </c>
      <c r="B35" s="3" t="n">
        <v>829.4370109683093</v>
      </c>
      <c r="C35" s="3" t="n">
        <v>829.4370109683081</v>
      </c>
      <c r="D35" s="3" t="n">
        <v>1.251e-12</v>
      </c>
    </row>
    <row r="36">
      <c r="A36" s="2" t="n">
        <v>539</v>
      </c>
      <c r="B36" s="2" t="n">
        <v>861.1710982127154</v>
      </c>
      <c r="C36" s="2" t="n">
        <v>861.1710982127164</v>
      </c>
      <c r="D36" s="2" t="n">
        <v>1.023e-12</v>
      </c>
    </row>
    <row r="37">
      <c r="A37" s="3" t="n">
        <v>564</v>
      </c>
      <c r="B37" s="3" t="n">
        <v>893.1191175672942</v>
      </c>
      <c r="C37" s="3" t="n">
        <v>893.119117567304</v>
      </c>
      <c r="D37" s="3" t="n">
        <v>9.776999999999999e-12</v>
      </c>
    </row>
    <row r="38">
      <c r="A38" s="2" t="n">
        <v>589</v>
      </c>
      <c r="B38" s="2" t="n">
        <v>924.7734839334767</v>
      </c>
      <c r="C38" s="2" t="n">
        <v>924.7734839334842</v>
      </c>
      <c r="D38" s="2" t="n">
        <v>7.503e-12</v>
      </c>
    </row>
    <row r="39">
      <c r="A39" s="3" t="n">
        <v>614</v>
      </c>
      <c r="B39" s="3" t="n">
        <v>956.6754793432898</v>
      </c>
      <c r="C39" s="3" t="n">
        <v>956.6754793433154</v>
      </c>
      <c r="D39" s="3" t="n">
        <v>2.558e-11</v>
      </c>
    </row>
    <row r="40">
      <c r="A40" s="2" t="n">
        <v>639</v>
      </c>
      <c r="B40" s="2" t="n">
        <v>986.7560084076561</v>
      </c>
      <c r="C40" s="2" t="n">
        <v>986.7560084076717</v>
      </c>
      <c r="D40" s="2" t="n">
        <v>1.569e-11</v>
      </c>
    </row>
    <row r="41">
      <c r="A41" s="3" t="n">
        <v>645</v>
      </c>
      <c r="B41" s="3" t="n">
        <v>994.4045905710944</v>
      </c>
      <c r="C41" s="3" t="n">
        <v>994.4045905711433</v>
      </c>
      <c r="D41" s="3" t="n">
        <v>4.889e-11</v>
      </c>
    </row>
    <row r="42">
      <c r="A42" s="2" t="n">
        <v>646</v>
      </c>
      <c r="B42" s="2" t="n">
        <v>996.2053361642983</v>
      </c>
      <c r="C42" s="2" t="n">
        <v>996.2053361642436</v>
      </c>
      <c r="D42" s="2" t="n">
        <v>5.468e-11</v>
      </c>
    </row>
    <row r="43">
      <c r="A43" s="3" t="n">
        <v>647</v>
      </c>
      <c r="B43" s="3" t="n">
        <v>997.5119347519392</v>
      </c>
      <c r="C43" s="3" t="n">
        <v>997.5119347519507</v>
      </c>
      <c r="D43" s="3" t="n">
        <v>1.148e-11</v>
      </c>
    </row>
    <row r="44">
      <c r="A44" s="2" t="n">
        <v>648</v>
      </c>
      <c r="B44" s="2" t="n">
        <v>998.8275471369296</v>
      </c>
      <c r="C44" s="2" t="n">
        <v>998.8275471370524</v>
      </c>
      <c r="D44" s="2" t="n">
        <v>1.228e-10</v>
      </c>
    </row>
    <row r="45">
      <c r="A45" s="3" t="n">
        <v>649</v>
      </c>
      <c r="B45" s="3" t="n">
        <v>999.7915715574129</v>
      </c>
      <c r="C45" s="3" t="n">
        <v>999.7915715575389</v>
      </c>
      <c r="D45" s="3" t="n">
        <v>1.26e-10</v>
      </c>
    </row>
    <row r="47">
      <c r="A47" s="5" t="inlineStr">
        <is>
          <t>Валидация E17</t>
        </is>
      </c>
    </row>
    <row r="48">
      <c r="A48" t="inlineStr">
        <is>
          <t>precision ЭМ / РС</t>
        </is>
      </c>
      <c r="B48" t="inlineStr">
        <is>
          <t>1.0 / 1.0</t>
        </is>
      </c>
    </row>
    <row r="49">
      <c r="A49" t="inlineStr">
        <is>
          <t>recall ЭМ / РС</t>
        </is>
      </c>
      <c r="B49" t="inlineStr">
        <is>
          <t>1.0 / 1.0</t>
        </is>
      </c>
    </row>
    <row r="50">
      <c r="A50" t="inlineStr">
        <is>
          <t>max |Δγ| ЭМ (Гаусс–Ньютон)</t>
        </is>
      </c>
      <c r="B50" t="inlineStr">
        <is>
          <t>3.019522409886122e-10</t>
        </is>
      </c>
    </row>
    <row r="51">
      <c r="A51" t="inlineStr">
        <is>
          <t>max |Δγ| РС (Гаусс–Ньютон)</t>
        </is>
      </c>
      <c r="B51" t="inlineStr">
        <is>
          <t>3.019522409886122e-10</t>
        </is>
      </c>
    </row>
    <row r="52">
      <c r="A52" t="inlineStr">
        <is>
          <t>кросс-движок max |Δγ|</t>
        </is>
      </c>
      <c r="B52" t="inlineStr">
        <is>
          <t>0.0</t>
        </is>
      </c>
    </row>
    <row r="53">
      <c r="A53" t="inlineStr">
        <is>
          <t>N(1000) стандартный путь</t>
        </is>
      </c>
      <c r="B53" t="inlineStr">
        <is>
          <t>649.0 → 649</t>
        </is>
      </c>
    </row>
    <row r="54">
      <c r="A54" t="inlineStr">
        <is>
          <t>устойчивость сетки [900,1000]</t>
        </is>
      </c>
      <c r="B54" t="inlineStr">
        <is>
          <t>0.0</t>
        </is>
      </c>
    </row>
    <row r="55">
      <c r="A55" t="inlineStr">
        <is>
          <t>SHA256 детектора ЭМ</t>
        </is>
      </c>
      <c r="B55" t="inlineStr">
        <is>
          <t>3843fb52c930fdca25bcc3689e67ed6cc513e67fd7b1d15566d0297b44ef47e5  e17_detector_em.csv</t>
        </is>
      </c>
    </row>
    <row r="56">
      <c r="A56" t="inlineStr">
        <is>
          <t>SHA256 детектора РС</t>
        </is>
      </c>
      <c r="B56" t="inlineStr">
        <is>
          <t>08cd95b6259b4f5855785b2f78e45d5884df2c3992c5fbfa7d9ae11cdf9cf117  e17_detector_rs.csv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1" t="inlineStr">
        <is>
          <t>Проверка</t>
        </is>
      </c>
      <c r="B1" s="1" t="inlineStr">
        <is>
          <t>Python (mpmath+numpy)</t>
        </is>
      </c>
      <c r="C1" s="1" t="inlineStr">
        <is>
          <t>Комментарий</t>
        </is>
      </c>
    </row>
    <row r="2">
      <c r="A2" s="2" t="inlineStr">
        <is>
          <t>E11 нулей: python / julia</t>
        </is>
      </c>
      <c r="B2" s="2" t="n">
        <v>13</v>
      </c>
      <c r="C2" s="2" t="n">
        <v>13</v>
      </c>
    </row>
    <row r="3">
      <c r="A3" s="3" t="inlineStr">
        <is>
          <t>E11 max |Δγ| py↔jl</t>
        </is>
      </c>
      <c r="B3" s="3" t="n">
        <v>0</v>
      </c>
      <c r="C3" s="3" t="inlineStr">
        <is>
          <t>рад</t>
        </is>
      </c>
    </row>
    <row r="4">
      <c r="A4" s="2" t="inlineStr">
        <is>
          <t>E11 max |Δγ| py↔zetazero</t>
        </is>
      </c>
      <c r="B4" s="2" t="n">
        <v>1.4210854715202e-14</v>
      </c>
      <c r="C4" s="2" t="inlineStr">
        <is>
          <t>рад</t>
        </is>
      </c>
    </row>
    <row r="5">
      <c r="A5" s="3" t="inlineStr">
        <is>
          <t>E11 max |Δγ| jl↔zetazero</t>
        </is>
      </c>
      <c r="B5" s="3" t="n">
        <v>1.4210854715202e-14</v>
      </c>
      <c r="C5" s="3" t="inlineStr">
        <is>
          <t>рад</t>
        </is>
      </c>
    </row>
    <row r="6">
      <c r="A6" s="2" t="inlineStr">
        <is>
          <t>E11 SHA256 детектора совпал</t>
        </is>
      </c>
      <c r="B6" s="2" t="b">
        <v>1</v>
      </c>
      <c r="C6" s="2" t="inlineStr"/>
    </row>
    <row r="7">
      <c r="A7" s="3" t="inlineStr">
        <is>
          <t>E02 numpy max (1−F), 200 матриц</t>
        </is>
      </c>
      <c r="B7" s="3" t="n">
        <v>4.440892098500626e-16</v>
      </c>
      <c r="C7" s="3" t="inlineStr">
        <is>
          <t>порог 1e−12</t>
        </is>
      </c>
    </row>
    <row r="8">
      <c r="A8" s="2" t="inlineStr">
        <is>
          <t>E02 numpy median (1−F)</t>
        </is>
      </c>
      <c r="B8" s="2" t="n">
        <v>0</v>
      </c>
      <c r="C8" s="2" t="inlineStr"/>
    </row>
    <row r="9">
      <c r="A9" s="3" t="inlineStr">
        <is>
          <t>E12 numpy max невязка</t>
        </is>
      </c>
      <c r="B9" s="3" t="n">
        <v>6.661338147750939e-16</v>
      </c>
      <c r="C9" s="3" t="inlineStr"/>
    </row>
    <row r="10">
      <c r="A10" s="2" t="inlineStr">
        <is>
          <t>E13 numpy worst D</t>
        </is>
      </c>
      <c r="B10" s="2" t="n">
        <v>4.652682298944613e-16</v>
      </c>
      <c r="C10" s="2" t="inlineStr"/>
    </row>
    <row r="11">
      <c r="A11" s="3" t="inlineStr">
        <is>
          <t>E14 S аналитика / LHV max</t>
        </is>
      </c>
      <c r="B11" s="3" t="n">
        <v>2.82842712474619</v>
      </c>
      <c r="C11" s="3" t="n">
        <v>2</v>
      </c>
    </row>
    <row r="12">
      <c r="A12" s="2" t="inlineStr">
        <is>
          <t>E16 Python-RS vs mpmath, max |Δζ|</t>
        </is>
      </c>
      <c r="B12" s="2" t="n">
        <v>6.520752427916657e-15</v>
      </c>
      <c r="C12" s="2" t="inlineStr">
        <is>
          <t>9 высот [250,1000]</t>
        </is>
      </c>
    </row>
    <row r="13">
      <c r="A13" s="3" t="inlineStr">
        <is>
          <t>E16 Julia бенчмарк agree max</t>
        </is>
      </c>
      <c r="B13" s="3" t="n">
        <v>3.052972802363995e-17</v>
      </c>
      <c r="C13" s="3" t="inlineStr">
        <is>
          <t>порог 1e−9</t>
        </is>
      </c>
    </row>
    <row r="14">
      <c r="A14" s="2" t="inlineStr">
        <is>
          <t>E17 SHA256 детекторов/эталона совпали</t>
        </is>
      </c>
      <c r="B14" s="2" t="inlineStr">
        <is>
          <t>True/True/True</t>
        </is>
      </c>
      <c r="C14" s="2" t="inlineStr"/>
    </row>
    <row r="15">
      <c r="A15" s="3" t="inlineStr">
        <is>
          <t>E17 все 649 позиций vs zetazero</t>
        </is>
      </c>
      <c r="B15" s="3" t="n">
        <v>2.273736754432321e-13</v>
      </c>
      <c r="C15" s="3" t="inlineStr">
        <is>
          <t>детектор, до ГН</t>
        </is>
      </c>
    </row>
    <row r="16">
      <c r="A16" s="2" t="inlineStr">
        <is>
          <t>E17 слепая репликация py [900,960]</t>
        </is>
      </c>
      <c r="B16" s="2" t="inlineStr">
        <is>
          <t>48 нулей; max|Δ|=2.2737367544323206e-13</t>
        </is>
      </c>
      <c r="C1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Эксперимент</t>
        </is>
      </c>
      <c r="B1" s="1" t="inlineStr">
        <is>
          <t>Предрегистрированный порог (до данных)</t>
        </is>
      </c>
    </row>
    <row r="2">
      <c r="A2" s="2" t="inlineStr">
        <is>
          <t>E01</t>
        </is>
      </c>
      <c r="B2" s="2" t="inlineStr">
        <is>
          <t>невязка ≤ 1e−12; фазовый контроль; испорченный ≥ 1e−4</t>
        </is>
      </c>
    </row>
    <row r="3">
      <c r="A3" s="3" t="inlineStr">
        <is>
          <t>E02</t>
        </is>
      </c>
      <c r="B3" s="3" t="inlineStr">
        <is>
          <t>max (1−F) ≤ 1e−12 (4×4) / ≤ 1e−10 (8×8), репликация и новые seeds</t>
        </is>
      </c>
    </row>
    <row r="4">
      <c r="A4" s="2" t="inlineStr">
        <is>
          <t>E03</t>
        </is>
      </c>
      <c r="B4" s="2" t="inlineStr">
        <is>
          <t>все размеры завершены; наклон b ∈ [2.6, 3.4] (O(d³))</t>
        </is>
      </c>
    </row>
    <row r="5">
      <c r="A5" s="3" t="inlineStr">
        <is>
          <t>E04</t>
        </is>
      </c>
      <c r="B5" s="3" t="inlineStr">
        <is>
          <t>байт-в-байт; 20 seeds max ≤ 1e−12; независимость порядка</t>
        </is>
      </c>
    </row>
    <row r="6">
      <c r="A6" s="2" t="inlineStr">
        <is>
          <t>E05</t>
        </is>
      </c>
      <c r="B6" s="2" t="inlineStr">
        <is>
          <t>σ* для бюджета p95(1−F) ≤ 1e−8; глобальная фаза не влияет</t>
        </is>
      </c>
    </row>
    <row r="7">
      <c r="A7" s="3" t="inlineStr">
        <is>
          <t>E06</t>
        </is>
      </c>
      <c r="B7" s="3" t="inlineStr">
        <is>
          <t>p=q=0 → 1.0; |сим − аналит| ≤ 4σ</t>
        </is>
      </c>
    </row>
    <row r="8">
      <c r="A8" s="2" t="inlineStr">
        <is>
          <t>E07</t>
        </is>
      </c>
      <c r="B8" s="2" t="inlineStr">
        <is>
          <t>независимый: логическая &lt; некодированной (p ≤ 0.05, CI95); коррелированный — выигрыш исчезает</t>
        </is>
      </c>
    </row>
    <row r="9">
      <c r="A9" s="3" t="inlineStr">
        <is>
          <t>E08</t>
        </is>
      </c>
      <c r="B9" s="3" t="inlineStr">
        <is>
          <t>сумматор 256/256 биективен; mulmod: нечёт/чёт паттерн</t>
        </is>
      </c>
    </row>
    <row r="10">
      <c r="A10" s="2" t="inlineStr">
        <is>
          <t>E09</t>
        </is>
      </c>
      <c r="B10" s="2" t="inlineStr">
        <is>
          <t>перебор n=2..8 без ошибок; Toffoli = 4n−2; CNOT = 10n−3; мусор ≡ 0</t>
        </is>
      </c>
    </row>
    <row r="11">
      <c r="A11" s="3" t="inlineStr">
        <is>
          <t>E10</t>
        </is>
      </c>
      <c r="B11" s="3" t="inlineStr">
        <is>
          <t>круговая ошибка ≤ 1e−12; отрицательный контроль ≥ 5e−3</t>
        </is>
      </c>
    </row>
    <row r="12">
      <c r="A12" s="2" t="inlineStr">
        <is>
          <t>E11</t>
        </is>
      </c>
      <c r="B12" s="2" t="inlineStr">
        <is>
          <t>precision=recall=1; max |Δγ| ≤ 1e−9; сетка h∈{0.02,0.005}; Гаусс–Ньютон ≤ 1e−9; N(60)=13</t>
        </is>
      </c>
    </row>
    <row r="13">
      <c r="A13" s="3" t="inlineStr">
        <is>
          <t>E12</t>
        </is>
      </c>
      <c r="B13" s="3" t="inlineStr">
        <is>
          <t>макс. невязка ≤ 1e−15; конечные точки; глобальная фаза</t>
        </is>
      </c>
    </row>
    <row r="14">
      <c r="A14" s="2" t="inlineStr">
        <is>
          <t>E13</t>
        </is>
      </c>
      <c r="B14" s="2" t="inlineStr">
        <is>
          <t>D ≤ 1e−12 (унитарные+CPTP); CNOT ≥ 0.01; разделение ≥ 1e10</t>
        </is>
      </c>
    </row>
    <row r="15">
      <c r="A15" s="3" t="inlineStr">
        <is>
          <t>E14</t>
        </is>
      </c>
      <c r="B15" s="3" t="inlineStr">
        <is>
          <t>|S−2√2| ≤ 3σ; LHV max = 2</t>
        </is>
      </c>
    </row>
    <row r="16">
      <c r="A16" s="2" t="inlineStr">
        <is>
          <t>E15</t>
        </is>
      </c>
      <c r="B16" s="2" t="inlineStr">
        <is>
          <t>M1 ≤ 1e−12; M3 полный ≤ 1e−12; M3 полу ≥ 0.2; абляция ≈ 0; линейная ≥ 0.1</t>
        </is>
      </c>
    </row>
    <row r="17">
      <c r="A17" s="3" t="inlineStr">
        <is>
          <t>E16</t>
        </is>
      </c>
      <c r="B17" s="3" t="inlineStr">
        <is>
          <t>F-ряд ≤ 1e−30; вещественность Z ≤ 1e−12; согласие RS↔ЭМ ≤ 1e−9 на [250,1000]</t>
        </is>
      </c>
    </row>
    <row r="18">
      <c r="A18" s="2" t="inlineStr">
        <is>
          <t>E17</t>
        </is>
      </c>
      <c r="B18" s="2" t="inlineStr">
        <is>
          <t>precision=recall=1 (оба движка); max|Δγ| ≤ 1e−9; кросс-движок ≤ 1e−9; N(1000)=найденным; сетка ≤ 1e−9</t>
        </is>
      </c>
    </row>
    <row r="19">
      <c r="A19" s="3" t="inlineStr">
        <is>
          <t>E18</t>
        </is>
      </c>
      <c r="B19" s="3" t="inlineStr">
        <is>
          <t>ABQP: 1−F ≤ 1e−12 на 100% набора; примитивы ≤ BL1/BL2/BL4 на каждой цели; медиана времени ×50 ≤ BL3; identity — 0 AB2; испорченная компилируется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Метод</t>
        </is>
      </c>
      <c r="B1" s="1" t="inlineStr">
        <is>
          <t>Целей</t>
        </is>
      </c>
      <c r="C1" s="1" t="inlineStr">
        <is>
          <t>Медиана времени, мс</t>
        </is>
      </c>
      <c r="D1" s="1" t="inlineStr">
        <is>
          <t>max (1−F)</t>
        </is>
      </c>
      <c r="E1" s="1" t="inlineStr">
        <is>
          <t>Доля успехов 1e−12</t>
        </is>
      </c>
    </row>
    <row r="2">
      <c r="A2" s="2" t="inlineStr">
        <is>
          <t>ABQP</t>
        </is>
      </c>
      <c r="B2" s="2" t="n">
        <v>69</v>
      </c>
      <c r="C2" s="2" t="n">
        <v>0.004633</v>
      </c>
      <c r="D2" s="2" t="n">
        <v>4.440892098500626e-16</v>
      </c>
      <c r="E2" s="2" t="n">
        <v>1</v>
      </c>
    </row>
    <row r="3">
      <c r="A3" s="3" t="inlineStr">
        <is>
          <t>BL1_naive_givens</t>
        </is>
      </c>
      <c r="B3" s="3" t="n">
        <v>69</v>
      </c>
      <c r="C3" s="3" t="n">
        <v>0.006375</v>
      </c>
      <c r="D3" s="3" t="n">
        <v>4.440892098500626e-16</v>
      </c>
      <c r="E3" s="3" t="n">
        <v>1</v>
      </c>
    </row>
    <row r="4">
      <c r="A4" s="2" t="inlineStr">
        <is>
          <t>BL2_euler_zyz</t>
        </is>
      </c>
      <c r="B4" s="2" t="n">
        <v>69</v>
      </c>
      <c r="C4" s="2" t="n">
        <v>0.006375</v>
      </c>
      <c r="D4" s="2" t="n">
        <v>4.440892098500626e-16</v>
      </c>
      <c r="E4" s="2" t="n">
        <v>1</v>
      </c>
    </row>
    <row r="5">
      <c r="A5" s="3" t="inlineStr">
        <is>
          <t>BL4_householder</t>
        </is>
      </c>
      <c r="B5" s="3" t="n">
        <v>69</v>
      </c>
      <c r="C5" s="3" t="n">
        <v>0.006553</v>
      </c>
      <c r="D5" s="3" t="n">
        <v>4.440892098500626e-16</v>
      </c>
      <c r="E5" s="3" t="n">
        <v>1</v>
      </c>
    </row>
    <row r="6">
      <c r="A6" s="2" t="inlineStr">
        <is>
          <t>BL3_coord_descent</t>
        </is>
      </c>
      <c r="B6" s="2" t="n">
        <v>69</v>
      </c>
      <c r="C6" s="2" t="n">
        <v>233.688102</v>
      </c>
      <c r="D6" s="2" t="n">
        <v>0.1234485436284687</v>
      </c>
      <c r="E6" s="2" t="n">
        <v>0.029</v>
      </c>
    </row>
    <row r="7">
      <c r="A7" s="3" t="inlineStr">
        <is>
          <t>BL5_random_search</t>
        </is>
      </c>
      <c r="B7" s="3" t="n">
        <v>69</v>
      </c>
      <c r="C7" s="3" t="n">
        <v>2.556659</v>
      </c>
      <c r="D7" s="3" t="n">
        <v>0.9377771951365421</v>
      </c>
      <c r="E7" s="3" t="n">
        <v>0</v>
      </c>
    </row>
    <row r="8">
      <c r="A8" s="2" t="inlineStr">
        <is>
          <t>ABQP@haar4</t>
        </is>
      </c>
      <c r="B8" s="2" t="n">
        <v>40</v>
      </c>
      <c r="C8" s="2" t="n">
        <v>0.003935</v>
      </c>
      <c r="D8" s="2" t="n">
        <v>4.440892098500626e-16</v>
      </c>
      <c r="E8" s="2" t="n">
        <v>1</v>
      </c>
    </row>
    <row r="9">
      <c r="A9" s="3" t="inlineStr">
        <is>
          <t>BL3_coord_descent@haar4</t>
        </is>
      </c>
      <c r="B9" s="3" t="n">
        <v>40</v>
      </c>
      <c r="C9" s="3" t="n">
        <v>232.217989</v>
      </c>
      <c r="D9" s="3" t="n">
        <v>2.950368320764341e-07</v>
      </c>
      <c r="E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2026-10-11T19:46:57Z</dcterms:created>
  <dcterms:modified xmlns:dcterms="http://purl.org/dc/terms/" xmlns:xsi="http://www.w3.org/2001/XMLSchema-instance" xsi:type="dcterms:W3CDTF">2026-10-11T19:46:57Z</dcterms:modified>
</cp:coreProperties>
</file>